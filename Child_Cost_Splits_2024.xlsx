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iora" sheetId="1" r:id="rId5"/>
    <sheet state="visible" name="Annika" sheetId="2" r:id="rId6"/>
    <sheet state="visible" name="Malachi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<sst xmlns="http://schemas.openxmlformats.org/spreadsheetml/2006/main" count="206" uniqueCount="86">
  <si>
    <t>Eliora</t>
  </si>
  <si>
    <t>Agreement as to share of cost responsibility</t>
  </si>
  <si>
    <t>Running Balance:</t>
  </si>
  <si>
    <t>Emma</t>
  </si>
  <si>
    <t>Nick</t>
  </si>
  <si>
    <t>Term Costs</t>
  </si>
  <si>
    <t>Paid By</t>
  </si>
  <si>
    <t>Term 1</t>
  </si>
  <si>
    <t>Term 2</t>
  </si>
  <si>
    <t>Term 3</t>
  </si>
  <si>
    <t>Term 4</t>
  </si>
  <si>
    <t>school shoes</t>
  </si>
  <si>
    <t>dance term 2 fees</t>
  </si>
  <si>
    <t>Intensive Swim Y2</t>
  </si>
  <si>
    <t>dance concert installment</t>
  </si>
  <si>
    <t>swimming lessons intensive</t>
  </si>
  <si>
    <t>costume deposit</t>
  </si>
  <si>
    <t>Nutcracker</t>
  </si>
  <si>
    <t>dance concert installment 21st oct</t>
  </si>
  <si>
    <t>backpack</t>
  </si>
  <si>
    <t>excursion</t>
  </si>
  <si>
    <t>KC dance concert installment</t>
  </si>
  <si>
    <t>dance installment</t>
  </si>
  <si>
    <t>Eliora Psychn 9th Jan</t>
  </si>
  <si>
    <t>dance term 3 fees</t>
  </si>
  <si>
    <t>jazz shoes</t>
  </si>
  <si>
    <t>psych 23rd Jan</t>
  </si>
  <si>
    <t>ADHD assessment deposit</t>
  </si>
  <si>
    <t>ADHD assessment remainder</t>
  </si>
  <si>
    <t>Psych 6th Feb</t>
  </si>
  <si>
    <t>laptop</t>
  </si>
  <si>
    <t>Dance enrolment</t>
  </si>
  <si>
    <t>Dance uniform</t>
  </si>
  <si>
    <t>Psych 20/02</t>
  </si>
  <si>
    <t>Paed 21/02</t>
  </si>
  <si>
    <t>Dance term 1 fees</t>
  </si>
  <si>
    <t>Psych 05/03</t>
  </si>
  <si>
    <t>Psych 18/03</t>
  </si>
  <si>
    <t>Paed/meds 26/03</t>
  </si>
  <si>
    <t>School fees</t>
  </si>
  <si>
    <t>PAID TOTAL</t>
  </si>
  <si>
    <t>TOTAL</t>
  </si>
  <si>
    <t>RUNNING TOTAL</t>
  </si>
  <si>
    <t>Emma total share</t>
  </si>
  <si>
    <t>Nick total share</t>
  </si>
  <si>
    <t>Emma total paid</t>
  </si>
  <si>
    <t>Nick total paid</t>
  </si>
  <si>
    <t>Emma total balance</t>
  </si>
  <si>
    <t>Nick total balance</t>
  </si>
  <si>
    <t>Difference:</t>
  </si>
  <si>
    <t>Annika</t>
  </si>
  <si>
    <t>band camp</t>
  </si>
  <si>
    <t>VPS band fees</t>
  </si>
  <si>
    <t xml:space="preserve">Trumpet lessons </t>
  </si>
  <si>
    <t>trumpet lessons</t>
  </si>
  <si>
    <t>Ice skate W1-5</t>
  </si>
  <si>
    <t>school fees</t>
  </si>
  <si>
    <t>concert costumes</t>
  </si>
  <si>
    <t>nutcracker costumes</t>
  </si>
  <si>
    <t>school camp y5</t>
  </si>
  <si>
    <t>solos accompanist &amp; entry fees</t>
  </si>
  <si>
    <t>football registration</t>
  </si>
  <si>
    <t>y6 uniforms</t>
  </si>
  <si>
    <t>Ice skate W6-10</t>
  </si>
  <si>
    <t>Malachi</t>
  </si>
  <si>
    <t>Band Link</t>
  </si>
  <si>
    <t>Karate tournament</t>
  </si>
  <si>
    <t>Karate grading</t>
  </si>
  <si>
    <t>clarinet music</t>
  </si>
  <si>
    <t>Uniform</t>
  </si>
  <si>
    <t>clarinet lessons</t>
  </si>
  <si>
    <t>Karate</t>
  </si>
  <si>
    <t>Karate term3-4</t>
  </si>
  <si>
    <t>book pack</t>
  </si>
  <si>
    <t>swim focus</t>
  </si>
  <si>
    <t>uniforms</t>
  </si>
  <si>
    <t>reeds and equipment</t>
  </si>
  <si>
    <t>clarinet</t>
  </si>
  <si>
    <t>School Camp</t>
  </si>
  <si>
    <t>Clarinet lessons</t>
  </si>
  <si>
    <t>All Kids Summary</t>
  </si>
  <si>
    <t>ELIORA</t>
  </si>
  <si>
    <t>ANNIKA</t>
  </si>
  <si>
    <t>MALACHI</t>
  </si>
  <si>
    <t>Emma Yearly Balance</t>
  </si>
  <si>
    <t>Nick Yearly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</si>
</sst>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9.0"/>
      <color rgb="FFFFFFFF"/>
      <name val="&quot;Google Sans Mono&quot;"/>
    </font>
    <font>
      <b/>
      <color rgb="FF9900FF"/>
      <name val="Arial"/>
      <scheme val="minor"/>
    </font>
    <font>
      <color rgb="FF9900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1" numFmtId="0" xfId="0" applyFont="1"/>
    <xf borderId="0" fillId="2" fontId="3" numFmtId="164" xfId="0" applyFont="1" applyNumberForma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9" xfId="0" applyFont="1" applyNumberForma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5" numFmtId="0" xfId="0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4" numFmtId="164" xfId="0" applyBorder="1" applyFont="1" applyNumberFormat="1"/>
    <xf borderId="0" fillId="0" fontId="4" numFmtId="0" xfId="0" applyFont="1"/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3" fontId="1" numFmtId="0" xfId="0" applyAlignment="1" applyFill="1" applyFont="1">
      <alignment readingOrder="0"/>
    </xf>
    <xf borderId="0" fillId="3" fontId="7" numFmtId="0" xfId="0" applyFont="1"/>
    <xf borderId="0" fillId="3" fontId="1" numFmtId="0" xfId="0" applyFont="1"/>
    <xf borderId="0" fillId="3" fontId="8" numFmtId="164" xfId="0" applyFont="1" applyNumberFormat="1"/>
    <xf borderId="0" fillId="2" fontId="1" numFmtId="164" xfId="0" applyFont="1" applyNumberFormat="1"/>
    <xf borderId="0" fillId="2" fontId="7" numFmtId="0" xfId="0" applyFont="1"/>
    <xf borderId="0" fillId="0" fontId="7" numFmtId="0" xfId="0" applyFont="1"/>
    <xf borderId="0" fillId="0" fontId="6" numFmtId="0" xfId="0" applyFont="1"/>
    <xf borderId="0" fillId="3" fontId="1" numFmtId="164" xfId="0" applyFont="1" applyNumberFormat="1"/>
    <xf borderId="0" fillId="3" fontId="3" numFmtId="0" xfId="0" applyFont="1"/>
    <xf borderId="0" fillId="3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3" width="9.63"/>
    <col customWidth="1" min="4" max="4" width="8.13"/>
    <col customWidth="1" min="5" max="5" width="15.5"/>
    <col customWidth="1" min="6" max="7" width="10.13"/>
    <col customWidth="1" min="8" max="8" width="9.13"/>
    <col customWidth="1" min="9" max="9" width="22.63"/>
    <col customWidth="1" min="10" max="11" width="11.38"/>
    <col customWidth="1" min="12" max="12" width="8.0"/>
    <col customWidth="1" min="13" max="13" width="23.13"/>
    <col customWidth="1" min="14" max="15" width="11.75"/>
  </cols>
  <sheetData>
    <row r="1">
      <c r="A1" s="1" t="s">
        <v>0</v>
      </c>
      <c r="B1" s="2"/>
      <c r="C1" s="2"/>
      <c r="D1" s="2"/>
    </row>
    <row r="2">
      <c r="A2" s="1" t="s">
        <v>1</v>
      </c>
      <c r="B2" s="1"/>
      <c r="C2" s="1"/>
      <c r="D2" s="1"/>
      <c r="E2" s="1" t="s">
        <v>2</v>
      </c>
      <c r="F2" s="3" t="str">
        <f>Summary!K15</f>
        <v>Nick owes Emma </v>
      </c>
      <c r="G2" s="3"/>
      <c r="H2" s="4">
        <f>Summary!K16</f>
        <v>329.2694</v>
      </c>
    </row>
    <row r="3">
      <c r="A3" s="5" t="s">
        <v>3</v>
      </c>
      <c r="B3" s="6">
        <v>0.57</v>
      </c>
    </row>
    <row r="4">
      <c r="A4" s="5" t="s">
        <v>4</v>
      </c>
      <c r="B4" s="7">
        <f>1-B3</f>
        <v>0.43</v>
      </c>
    </row>
    <row r="6">
      <c r="A6" s="8" t="s">
        <v>5</v>
      </c>
      <c r="B6" s="8" t="s">
        <v>6</v>
      </c>
      <c r="C6" s="9"/>
      <c r="D6" s="10"/>
      <c r="E6" s="8" t="s">
        <v>5</v>
      </c>
      <c r="F6" s="8" t="s">
        <v>6</v>
      </c>
      <c r="G6" s="9"/>
      <c r="H6" s="10"/>
      <c r="I6" s="8" t="s">
        <v>5</v>
      </c>
      <c r="J6" s="8" t="s">
        <v>6</v>
      </c>
      <c r="K6" s="9"/>
      <c r="L6" s="10"/>
      <c r="M6" s="8" t="s">
        <v>5</v>
      </c>
      <c r="N6" s="8" t="s">
        <v>6</v>
      </c>
      <c r="O6" s="9"/>
    </row>
    <row r="7">
      <c r="A7" s="8" t="s">
        <v>7</v>
      </c>
      <c r="B7" s="8" t="s">
        <v>3</v>
      </c>
      <c r="C7" s="8" t="s">
        <v>4</v>
      </c>
      <c r="D7" s="10"/>
      <c r="E7" s="8" t="s">
        <v>8</v>
      </c>
      <c r="F7" s="8" t="s">
        <v>3</v>
      </c>
      <c r="G7" s="8" t="s">
        <v>4</v>
      </c>
      <c r="H7" s="10"/>
      <c r="I7" s="8" t="s">
        <v>9</v>
      </c>
      <c r="J7" s="8" t="s">
        <v>3</v>
      </c>
      <c r="K7" s="8" t="s">
        <v>4</v>
      </c>
      <c r="L7" s="10"/>
      <c r="M7" s="8" t="s">
        <v>10</v>
      </c>
      <c r="N7" s="8" t="s">
        <v>3</v>
      </c>
      <c r="O7" s="8" t="s">
        <v>4</v>
      </c>
    </row>
    <row r="8">
      <c r="A8" s="11" t="s">
        <v>11</v>
      </c>
      <c r="B8" s="11">
        <v>95.13</v>
      </c>
      <c r="C8" s="12"/>
      <c r="E8" s="11" t="s">
        <v>12</v>
      </c>
      <c r="F8" s="11">
        <v>237.5</v>
      </c>
      <c r="G8" s="12"/>
      <c r="I8" s="11" t="s">
        <v>13</v>
      </c>
      <c r="J8" s="12"/>
      <c r="K8" s="11">
        <v>70.0</v>
      </c>
      <c r="M8" s="11" t="s">
        <v>14</v>
      </c>
      <c r="N8" s="11">
        <v>89.17</v>
      </c>
      <c r="O8" s="12"/>
    </row>
    <row r="9">
      <c r="A9" s="11" t="s">
        <v>15</v>
      </c>
      <c r="B9" s="11">
        <v>66.5</v>
      </c>
      <c r="C9" s="11"/>
      <c r="E9" s="11" t="s">
        <v>16</v>
      </c>
      <c r="F9" s="11">
        <v>50.0</v>
      </c>
      <c r="G9" s="11"/>
      <c r="I9" s="11" t="s">
        <v>17</v>
      </c>
      <c r="J9" s="12"/>
      <c r="K9" s="11">
        <v>100.0</v>
      </c>
      <c r="M9" s="11" t="s">
        <v>18</v>
      </c>
      <c r="N9" s="11">
        <v>89.17</v>
      </c>
      <c r="O9" s="12"/>
    </row>
    <row r="10">
      <c r="A10" s="11" t="s">
        <v>19</v>
      </c>
      <c r="B10" s="11">
        <v>68.71</v>
      </c>
      <c r="C10" s="12"/>
      <c r="E10" s="11" t="s">
        <v>20</v>
      </c>
      <c r="F10" s="12"/>
      <c r="G10" s="11">
        <v>59.0</v>
      </c>
      <c r="I10" s="11" t="s">
        <v>21</v>
      </c>
      <c r="J10" s="11">
        <v>61.37</v>
      </c>
      <c r="K10" s="12"/>
      <c r="M10" s="11" t="s">
        <v>22</v>
      </c>
      <c r="N10" s="11">
        <v>89.16</v>
      </c>
      <c r="O10" s="12"/>
    </row>
    <row r="11">
      <c r="A11" s="11" t="s">
        <v>23</v>
      </c>
      <c r="B11" s="11"/>
      <c r="C11" s="11">
        <v>210.0</v>
      </c>
      <c r="E11" s="12"/>
      <c r="F11" s="12"/>
      <c r="G11" s="12"/>
      <c r="I11" s="11" t="s">
        <v>24</v>
      </c>
      <c r="J11" s="11">
        <v>237.5</v>
      </c>
      <c r="K11" s="12"/>
      <c r="M11" s="11" t="s">
        <v>25</v>
      </c>
      <c r="N11" s="11">
        <v>69.95</v>
      </c>
      <c r="O11" s="12"/>
    </row>
    <row r="12">
      <c r="A12" s="11" t="s">
        <v>26</v>
      </c>
      <c r="B12" s="11">
        <v>116.65</v>
      </c>
      <c r="C12" s="12"/>
      <c r="E12" s="12"/>
      <c r="F12" s="12"/>
      <c r="G12" s="12"/>
      <c r="I12" s="11" t="s">
        <v>27</v>
      </c>
      <c r="J12" s="11">
        <v>250.0</v>
      </c>
      <c r="K12" s="12"/>
      <c r="M12" s="11" t="s">
        <v>28</v>
      </c>
      <c r="N12" s="11"/>
      <c r="O12" s="12"/>
    </row>
    <row r="13">
      <c r="A13" s="11" t="s">
        <v>29</v>
      </c>
      <c r="B13" s="11">
        <v>116.65</v>
      </c>
      <c r="C13" s="11"/>
      <c r="E13" s="12"/>
      <c r="F13" s="12"/>
      <c r="G13" s="12"/>
      <c r="I13" s="12"/>
      <c r="J13" s="12"/>
      <c r="K13" s="12"/>
      <c r="M13" s="11" t="s">
        <v>30</v>
      </c>
      <c r="N13" s="12"/>
      <c r="O13" s="11">
        <v>279.0</v>
      </c>
    </row>
    <row r="14">
      <c r="A14" s="11" t="s">
        <v>31</v>
      </c>
      <c r="B14" s="11">
        <v>50.0</v>
      </c>
      <c r="C14" s="11"/>
      <c r="E14" s="12"/>
      <c r="F14" s="12"/>
      <c r="G14" s="12"/>
      <c r="I14" s="12"/>
      <c r="J14" s="12"/>
      <c r="K14" s="12"/>
      <c r="M14" s="12"/>
      <c r="N14" s="12"/>
      <c r="O14" s="12"/>
    </row>
    <row r="15">
      <c r="A15" s="11" t="s">
        <v>32</v>
      </c>
      <c r="B15" s="11">
        <v>67.0</v>
      </c>
      <c r="C15" s="11"/>
      <c r="E15" s="12"/>
      <c r="F15" s="12"/>
      <c r="G15" s="12"/>
      <c r="I15" s="12"/>
      <c r="J15" s="12"/>
      <c r="K15" s="12"/>
      <c r="M15" s="12"/>
      <c r="N15" s="12"/>
      <c r="O15" s="12"/>
    </row>
    <row r="16">
      <c r="A16" s="11" t="s">
        <v>33</v>
      </c>
      <c r="B16" s="11">
        <v>116.65</v>
      </c>
      <c r="C16" s="11"/>
      <c r="E16" s="12"/>
      <c r="F16" s="12"/>
      <c r="G16" s="12"/>
      <c r="I16" s="12"/>
      <c r="J16" s="12"/>
      <c r="K16" s="12"/>
      <c r="M16" s="12"/>
      <c r="N16" s="12"/>
      <c r="O16" s="12"/>
    </row>
    <row r="17">
      <c r="A17" s="11" t="s">
        <v>34</v>
      </c>
      <c r="B17" s="11">
        <v>193.3</v>
      </c>
      <c r="C17" s="11"/>
      <c r="E17" s="12"/>
      <c r="F17" s="12"/>
      <c r="G17" s="12"/>
      <c r="I17" s="12"/>
      <c r="J17" s="12"/>
      <c r="K17" s="12"/>
      <c r="M17" s="12"/>
      <c r="N17" s="12"/>
      <c r="O17" s="12"/>
    </row>
    <row r="18">
      <c r="A18" s="11" t="s">
        <v>35</v>
      </c>
      <c r="B18" s="11">
        <v>187.5</v>
      </c>
      <c r="C18" s="11"/>
      <c r="E18" s="12"/>
      <c r="F18" s="12"/>
      <c r="G18" s="12"/>
      <c r="I18" s="12"/>
      <c r="J18" s="12"/>
      <c r="K18" s="12"/>
      <c r="M18" s="12"/>
      <c r="N18" s="12"/>
      <c r="O18" s="12"/>
    </row>
    <row r="19">
      <c r="A19" s="11" t="s">
        <v>36</v>
      </c>
      <c r="B19" s="11">
        <v>116.65</v>
      </c>
      <c r="C19" s="11"/>
      <c r="E19" s="12"/>
      <c r="F19" s="12"/>
      <c r="G19" s="12"/>
      <c r="I19" s="12"/>
      <c r="J19" s="12"/>
      <c r="K19" s="12"/>
      <c r="M19" s="12"/>
      <c r="N19" s="12"/>
      <c r="O19" s="12"/>
    </row>
    <row r="20">
      <c r="A20" s="11" t="s">
        <v>37</v>
      </c>
      <c r="B20" s="11">
        <v>52.55</v>
      </c>
      <c r="C20" s="11"/>
      <c r="E20" s="12"/>
      <c r="F20" s="12"/>
      <c r="G20" s="12"/>
      <c r="I20" s="12"/>
      <c r="J20" s="12"/>
      <c r="K20" s="12"/>
      <c r="M20" s="12"/>
      <c r="N20" s="12"/>
      <c r="O20" s="12"/>
    </row>
    <row r="21">
      <c r="A21" s="11" t="s">
        <v>38</v>
      </c>
      <c r="B21" s="11">
        <v>64.75</v>
      </c>
      <c r="C21" s="11"/>
      <c r="E21" s="12"/>
      <c r="F21" s="12"/>
      <c r="G21" s="12"/>
      <c r="I21" s="12"/>
      <c r="J21" s="12"/>
      <c r="K21" s="12"/>
      <c r="M21" s="12"/>
      <c r="N21" s="12"/>
      <c r="O21" s="12"/>
    </row>
    <row r="22">
      <c r="A22" s="11" t="s">
        <v>39</v>
      </c>
      <c r="B22" s="11">
        <v>90.0</v>
      </c>
      <c r="C22" s="11"/>
      <c r="E22" s="12"/>
      <c r="F22" s="12"/>
      <c r="G22" s="12"/>
      <c r="I22" s="12"/>
      <c r="J22" s="12"/>
      <c r="K22" s="12"/>
      <c r="M22" s="12"/>
      <c r="N22" s="12"/>
      <c r="O22" s="12"/>
    </row>
    <row r="23">
      <c r="A23" s="11"/>
      <c r="B23" s="11"/>
      <c r="C23" s="11"/>
      <c r="E23" s="12"/>
      <c r="F23" s="12"/>
      <c r="G23" s="12"/>
      <c r="I23" s="12"/>
      <c r="J23" s="12"/>
      <c r="K23" s="12"/>
      <c r="M23" s="12"/>
      <c r="N23" s="12"/>
      <c r="O23" s="12"/>
    </row>
    <row r="24">
      <c r="A24" s="8" t="s">
        <v>40</v>
      </c>
      <c r="B24" s="13">
        <f t="shared" ref="B24:C24" si="1">SUM(B8:B23)</f>
        <v>1402.04</v>
      </c>
      <c r="C24" s="13">
        <f t="shared" si="1"/>
        <v>210</v>
      </c>
      <c r="D24" s="14"/>
      <c r="E24" s="8" t="s">
        <v>41</v>
      </c>
      <c r="F24" s="13">
        <f t="shared" ref="F24:G24" si="2">SUM(F8:F23)</f>
        <v>287.5</v>
      </c>
      <c r="G24" s="13">
        <f t="shared" si="2"/>
        <v>59</v>
      </c>
      <c r="H24" s="14"/>
      <c r="I24" s="8" t="s">
        <v>41</v>
      </c>
      <c r="J24" s="13">
        <f t="shared" ref="J24:K24" si="3">SUM(J8:J23)</f>
        <v>548.87</v>
      </c>
      <c r="K24" s="13">
        <f t="shared" si="3"/>
        <v>170</v>
      </c>
      <c r="L24" s="14"/>
      <c r="M24" s="8" t="s">
        <v>41</v>
      </c>
      <c r="N24" s="13">
        <f t="shared" ref="N24:O24" si="4">SUM(N8:N23)</f>
        <v>337.45</v>
      </c>
      <c r="O24" s="13">
        <f t="shared" si="4"/>
        <v>279</v>
      </c>
    </row>
    <row r="25">
      <c r="A25" s="8" t="s">
        <v>42</v>
      </c>
      <c r="B25" s="13"/>
      <c r="C25" s="13">
        <f>B24+C24</f>
        <v>1612.04</v>
      </c>
      <c r="D25" s="14"/>
      <c r="E25" s="9"/>
      <c r="F25" s="13"/>
      <c r="G25" s="13">
        <f>F24+G24+C25</f>
        <v>1958.54</v>
      </c>
      <c r="H25" s="14"/>
      <c r="I25" s="9"/>
      <c r="J25" s="9"/>
      <c r="K25" s="13">
        <f>J24+K24+G25</f>
        <v>2677.41</v>
      </c>
      <c r="L25" s="14"/>
      <c r="M25" s="9"/>
      <c r="N25" s="9"/>
      <c r="O25" s="13">
        <f>N24+O24+K25</f>
        <v>3293.86</v>
      </c>
    </row>
    <row r="26">
      <c r="A26" s="15"/>
    </row>
    <row r="27">
      <c r="M27" s="5" t="s">
        <v>43</v>
      </c>
      <c r="O27" s="16">
        <f>O25*B3</f>
        <v>1877.5002</v>
      </c>
    </row>
    <row r="28">
      <c r="M28" s="5" t="s">
        <v>44</v>
      </c>
      <c r="O28" s="16">
        <f>O25*B4</f>
        <v>1416.3598</v>
      </c>
    </row>
    <row r="29">
      <c r="M29" s="2"/>
    </row>
    <row r="30">
      <c r="M30" s="5" t="s">
        <v>45</v>
      </c>
      <c r="O30" s="16">
        <f>B24+F24+J24+N24</f>
        <v>2575.86</v>
      </c>
    </row>
    <row r="31">
      <c r="M31" s="5" t="s">
        <v>46</v>
      </c>
      <c r="O31" s="16">
        <f>C24+G24+K24+O24</f>
        <v>718</v>
      </c>
    </row>
    <row r="32">
      <c r="M32" s="2"/>
    </row>
    <row r="33">
      <c r="M33" s="5" t="s">
        <v>47</v>
      </c>
      <c r="O33" s="16">
        <f t="shared" ref="O33:O34" si="5">O30-O27</f>
        <v>698.3598</v>
      </c>
    </row>
    <row r="34">
      <c r="M34" s="5" t="s">
        <v>48</v>
      </c>
      <c r="O34" s="16">
        <f t="shared" si="5"/>
        <v>-698.3598</v>
      </c>
    </row>
    <row r="36">
      <c r="M36" s="17" t="s">
        <v>49</v>
      </c>
      <c r="N36" s="18"/>
      <c r="O36" s="18"/>
    </row>
    <row r="37">
      <c r="M37" s="19" t="str">
        <f>if(O33&lt;0,"Emma owes Nick ", "Nick owes Emma ")</f>
        <v>Nick owes Emma </v>
      </c>
      <c r="N37" s="18"/>
      <c r="O37" s="20">
        <f>if(O33&lt;0,O34, O33)</f>
        <v>698.3598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3" width="9.63"/>
    <col customWidth="1" min="4" max="4" width="8.13"/>
    <col customWidth="1" min="5" max="5" width="15.5"/>
    <col customWidth="1" min="6" max="7" width="10.13"/>
    <col customWidth="1" min="8" max="8" width="9.13"/>
    <col customWidth="1" min="9" max="9" width="16.38"/>
    <col customWidth="1" min="10" max="11" width="11.38"/>
    <col customWidth="1" min="12" max="12" width="8.0"/>
    <col customWidth="1" min="13" max="13" width="16.63"/>
    <col customWidth="1" min="14" max="15" width="11.75"/>
  </cols>
  <sheetData>
    <row r="1">
      <c r="A1" s="1" t="s">
        <v>50</v>
      </c>
      <c r="B1" s="2"/>
      <c r="C1" s="2"/>
      <c r="D1" s="2"/>
    </row>
    <row r="2">
      <c r="A2" s="1" t="s">
        <v>1</v>
      </c>
      <c r="B2" s="1"/>
      <c r="C2" s="1"/>
      <c r="D2" s="1"/>
      <c r="E2" s="1" t="s">
        <v>2</v>
      </c>
      <c r="F2" s="3" t="str">
        <f>Summary!K15</f>
        <v>Nick owes Emma </v>
      </c>
      <c r="G2" s="3"/>
      <c r="H2" s="4">
        <f>Summary!K16</f>
        <v>329.2694</v>
      </c>
    </row>
    <row r="3">
      <c r="A3" s="5" t="s">
        <v>3</v>
      </c>
      <c r="B3" s="6">
        <v>0.57</v>
      </c>
    </row>
    <row r="4">
      <c r="A4" s="5" t="s">
        <v>4</v>
      </c>
      <c r="B4" s="7">
        <f>1-B3</f>
        <v>0.43</v>
      </c>
    </row>
    <row r="6">
      <c r="A6" s="8" t="s">
        <v>5</v>
      </c>
      <c r="B6" s="8" t="s">
        <v>6</v>
      </c>
      <c r="C6" s="9"/>
      <c r="D6" s="10"/>
      <c r="E6" s="8" t="s">
        <v>5</v>
      </c>
      <c r="F6" s="8" t="s">
        <v>6</v>
      </c>
      <c r="G6" s="9"/>
      <c r="H6" s="10"/>
      <c r="I6" s="8" t="s">
        <v>5</v>
      </c>
      <c r="J6" s="8" t="s">
        <v>6</v>
      </c>
      <c r="K6" s="9"/>
      <c r="L6" s="10"/>
      <c r="M6" s="8" t="s">
        <v>5</v>
      </c>
      <c r="N6" s="8" t="s">
        <v>6</v>
      </c>
      <c r="O6" s="9"/>
    </row>
    <row r="7">
      <c r="A7" s="8" t="s">
        <v>7</v>
      </c>
      <c r="B7" s="8" t="s">
        <v>3</v>
      </c>
      <c r="C7" s="8" t="s">
        <v>4</v>
      </c>
      <c r="D7" s="10"/>
      <c r="E7" s="8" t="s">
        <v>8</v>
      </c>
      <c r="F7" s="8" t="s">
        <v>3</v>
      </c>
      <c r="G7" s="8" t="s">
        <v>4</v>
      </c>
      <c r="H7" s="10"/>
      <c r="I7" s="8" t="s">
        <v>9</v>
      </c>
      <c r="J7" s="8" t="s">
        <v>3</v>
      </c>
      <c r="K7" s="8" t="s">
        <v>4</v>
      </c>
      <c r="L7" s="10"/>
      <c r="M7" s="8" t="s">
        <v>10</v>
      </c>
      <c r="N7" s="8" t="s">
        <v>3</v>
      </c>
      <c r="O7" s="8" t="s">
        <v>4</v>
      </c>
    </row>
    <row r="8">
      <c r="A8" s="11" t="s">
        <v>11</v>
      </c>
      <c r="B8" s="11">
        <v>71.96</v>
      </c>
      <c r="C8" s="11"/>
      <c r="E8" s="11" t="s">
        <v>51</v>
      </c>
      <c r="F8" s="11">
        <v>80.0</v>
      </c>
      <c r="G8" s="11"/>
      <c r="I8" s="11" t="s">
        <v>17</v>
      </c>
      <c r="J8" s="12"/>
      <c r="K8" s="11">
        <v>100.0</v>
      </c>
      <c r="M8" s="11" t="s">
        <v>52</v>
      </c>
      <c r="N8" s="11">
        <v>130.0</v>
      </c>
      <c r="O8" s="12"/>
    </row>
    <row r="9">
      <c r="A9" s="11" t="s">
        <v>15</v>
      </c>
      <c r="B9" s="11">
        <v>66.5</v>
      </c>
      <c r="C9" s="11"/>
      <c r="E9" s="11" t="s">
        <v>53</v>
      </c>
      <c r="F9" s="11">
        <v>315.0</v>
      </c>
      <c r="G9" s="12"/>
      <c r="I9" s="11" t="s">
        <v>54</v>
      </c>
      <c r="J9" s="11">
        <v>315.0</v>
      </c>
      <c r="K9" s="11"/>
      <c r="M9" s="11" t="s">
        <v>55</v>
      </c>
      <c r="N9" s="11"/>
      <c r="O9" s="11">
        <v>115.0</v>
      </c>
    </row>
    <row r="10">
      <c r="A10" s="11" t="s">
        <v>56</v>
      </c>
      <c r="B10" s="11"/>
      <c r="C10" s="11">
        <v>90.0</v>
      </c>
      <c r="E10" s="11"/>
      <c r="F10" s="11"/>
      <c r="G10" s="12"/>
      <c r="I10" s="11" t="s">
        <v>57</v>
      </c>
      <c r="J10" s="11">
        <v>59.94</v>
      </c>
      <c r="K10" s="12"/>
      <c r="M10" s="11" t="s">
        <v>58</v>
      </c>
      <c r="N10" s="11"/>
      <c r="O10" s="11">
        <v>110.0</v>
      </c>
    </row>
    <row r="11">
      <c r="A11" s="11" t="s">
        <v>59</v>
      </c>
      <c r="B11" s="11"/>
      <c r="C11" s="11">
        <v>495.0</v>
      </c>
      <c r="E11" s="11"/>
      <c r="F11" s="11"/>
      <c r="G11" s="12"/>
      <c r="I11" s="11"/>
      <c r="J11" s="11"/>
      <c r="K11" s="12"/>
      <c r="M11" s="11" t="s">
        <v>60</v>
      </c>
      <c r="N11" s="11">
        <v>75.0</v>
      </c>
      <c r="O11" s="12"/>
    </row>
    <row r="12">
      <c r="A12" s="11" t="s">
        <v>61</v>
      </c>
      <c r="B12" s="11"/>
      <c r="C12" s="11">
        <v>303.3</v>
      </c>
      <c r="E12" s="11"/>
      <c r="F12" s="11"/>
      <c r="G12" s="11"/>
      <c r="I12" s="11"/>
      <c r="J12" s="11"/>
      <c r="K12" s="11"/>
      <c r="M12" s="11" t="s">
        <v>62</v>
      </c>
      <c r="N12" s="11">
        <v>114.0</v>
      </c>
      <c r="O12" s="11"/>
    </row>
    <row r="13">
      <c r="A13" s="11" t="s">
        <v>54</v>
      </c>
      <c r="B13" s="11">
        <v>280.0</v>
      </c>
      <c r="C13" s="12"/>
      <c r="E13" s="11"/>
      <c r="F13" s="11"/>
      <c r="G13" s="11"/>
      <c r="I13" s="11"/>
      <c r="J13" s="11"/>
      <c r="K13" s="11"/>
      <c r="M13" s="11" t="s">
        <v>63</v>
      </c>
      <c r="N13" s="12"/>
      <c r="O13" s="11">
        <v>66.0</v>
      </c>
    </row>
    <row r="14">
      <c r="A14" s="11"/>
      <c r="B14" s="11"/>
      <c r="C14" s="12"/>
      <c r="E14" s="11"/>
      <c r="F14" s="11"/>
      <c r="G14" s="11"/>
      <c r="I14" s="11"/>
      <c r="J14" s="11"/>
      <c r="K14" s="11"/>
      <c r="M14" s="11" t="s">
        <v>54</v>
      </c>
      <c r="N14" s="11">
        <v>353.0</v>
      </c>
      <c r="O14" s="11"/>
    </row>
    <row r="15">
      <c r="A15" s="11"/>
      <c r="B15" s="11"/>
      <c r="C15" s="12"/>
      <c r="E15" s="11"/>
      <c r="F15" s="11"/>
      <c r="G15" s="11"/>
      <c r="I15" s="11"/>
      <c r="J15" s="11"/>
      <c r="K15" s="11"/>
      <c r="M15" s="11"/>
      <c r="N15" s="12"/>
      <c r="O15" s="11"/>
    </row>
    <row r="16">
      <c r="A16" s="11"/>
      <c r="B16" s="11"/>
      <c r="C16" s="12"/>
      <c r="E16" s="11"/>
      <c r="F16" s="11"/>
      <c r="G16" s="11"/>
      <c r="I16" s="11"/>
      <c r="J16" s="11"/>
      <c r="K16" s="11"/>
      <c r="M16" s="11"/>
      <c r="N16" s="12"/>
      <c r="O16" s="11"/>
    </row>
    <row r="17">
      <c r="A17" s="11"/>
      <c r="B17" s="11"/>
      <c r="C17" s="12"/>
      <c r="E17" s="11"/>
      <c r="F17" s="11"/>
      <c r="G17" s="12"/>
      <c r="I17" s="11"/>
      <c r="J17" s="12"/>
      <c r="K17" s="11"/>
      <c r="M17" s="11"/>
      <c r="N17" s="12"/>
      <c r="O17" s="12"/>
    </row>
    <row r="18">
      <c r="A18" s="8" t="s">
        <v>40</v>
      </c>
      <c r="B18" s="13">
        <f t="shared" ref="B18:C18" si="1">SUM(B8:B17)</f>
        <v>418.46</v>
      </c>
      <c r="C18" s="13">
        <f t="shared" si="1"/>
        <v>888.3</v>
      </c>
      <c r="D18" s="14"/>
      <c r="E18" s="8" t="s">
        <v>41</v>
      </c>
      <c r="F18" s="13">
        <f t="shared" ref="F18:G18" si="2">SUM(F8:F17)</f>
        <v>395</v>
      </c>
      <c r="G18" s="13">
        <f t="shared" si="2"/>
        <v>0</v>
      </c>
      <c r="H18" s="14"/>
      <c r="I18" s="8" t="s">
        <v>41</v>
      </c>
      <c r="J18" s="13">
        <f t="shared" ref="J18:K18" si="3">SUM(J8:J17)</f>
        <v>374.94</v>
      </c>
      <c r="K18" s="13">
        <f t="shared" si="3"/>
        <v>100</v>
      </c>
      <c r="L18" s="14"/>
      <c r="M18" s="8" t="s">
        <v>41</v>
      </c>
      <c r="N18" s="13">
        <f t="shared" ref="N18:O18" si="4">SUM(N8:N17)</f>
        <v>672</v>
      </c>
      <c r="O18" s="13">
        <f t="shared" si="4"/>
        <v>291</v>
      </c>
    </row>
    <row r="19">
      <c r="A19" s="8" t="s">
        <v>42</v>
      </c>
      <c r="B19" s="13"/>
      <c r="C19" s="13">
        <f>B18+C18</f>
        <v>1306.76</v>
      </c>
      <c r="D19" s="14"/>
      <c r="E19" s="9"/>
      <c r="F19" s="13"/>
      <c r="G19" s="13">
        <f>F18+G18+C19</f>
        <v>1701.76</v>
      </c>
      <c r="H19" s="14"/>
      <c r="I19" s="9"/>
      <c r="J19" s="9"/>
      <c r="K19" s="13">
        <f>J18+K18+G19</f>
        <v>2176.7</v>
      </c>
      <c r="L19" s="14"/>
      <c r="M19" s="9"/>
      <c r="N19" s="9"/>
      <c r="O19" s="13">
        <f>N18+O18+K19</f>
        <v>3139.7</v>
      </c>
    </row>
    <row r="20">
      <c r="A20" s="15"/>
    </row>
    <row r="21">
      <c r="M21" s="5" t="s">
        <v>43</v>
      </c>
      <c r="O21" s="16">
        <f>O19*B3</f>
        <v>1789.629</v>
      </c>
    </row>
    <row r="22">
      <c r="M22" s="5" t="s">
        <v>44</v>
      </c>
      <c r="O22" s="16">
        <f>O19*B4</f>
        <v>1350.071</v>
      </c>
    </row>
    <row r="23">
      <c r="M23" s="2"/>
    </row>
    <row r="24">
      <c r="M24" s="5" t="s">
        <v>45</v>
      </c>
      <c r="O24" s="16">
        <f>B18+F18+J18+N18</f>
        <v>1860.4</v>
      </c>
    </row>
    <row r="25">
      <c r="M25" s="5" t="s">
        <v>46</v>
      </c>
      <c r="O25" s="16">
        <f>C18+G18+K18+O18</f>
        <v>1279.3</v>
      </c>
    </row>
    <row r="26">
      <c r="M26" s="2"/>
    </row>
    <row r="27">
      <c r="M27" s="5" t="s">
        <v>47</v>
      </c>
      <c r="O27" s="16">
        <f t="shared" ref="O27:O28" si="5">O24-O21</f>
        <v>70.771</v>
      </c>
    </row>
    <row r="28">
      <c r="M28" s="5" t="s">
        <v>48</v>
      </c>
      <c r="O28" s="16">
        <f t="shared" si="5"/>
        <v>-70.771</v>
      </c>
    </row>
    <row r="30">
      <c r="M30" s="17" t="s">
        <v>49</v>
      </c>
      <c r="N30" s="18"/>
      <c r="O30" s="18"/>
    </row>
    <row r="31">
      <c r="M31" s="19" t="str">
        <f>if(O27&lt;0,"Emma owes Nick ", "Nick owes Emma ")</f>
        <v>Nick owes Emma </v>
      </c>
      <c r="N31" s="18"/>
      <c r="O31" s="20">
        <f>if(O27&lt;0,O28, O27)</f>
        <v>70.771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3" width="9.63"/>
    <col customWidth="1" min="4" max="4" width="8.13"/>
    <col customWidth="1" min="5" max="5" width="15.5"/>
    <col customWidth="1" min="6" max="7" width="10.13"/>
    <col customWidth="1" min="8" max="8" width="9.13"/>
    <col customWidth="1" min="9" max="9" width="16.38"/>
    <col customWidth="1" min="10" max="11" width="11.38"/>
    <col customWidth="1" min="12" max="12" width="8.0"/>
    <col customWidth="1" min="13" max="13" width="16.63"/>
    <col customWidth="1" min="14" max="15" width="11.75"/>
  </cols>
  <sheetData>
    <row r="1">
      <c r="A1" s="1" t="s">
        <v>64</v>
      </c>
      <c r="B1" s="2"/>
      <c r="C1" s="2"/>
      <c r="D1" s="2"/>
    </row>
    <row r="2">
      <c r="A2" s="1" t="s">
        <v>1</v>
      </c>
      <c r="B2" s="1"/>
      <c r="C2" s="1"/>
      <c r="D2" s="1"/>
      <c r="E2" s="1" t="s">
        <v>2</v>
      </c>
      <c r="F2" s="3" t="str">
        <f>Summary!K15</f>
        <v>Nick owes Emma </v>
      </c>
      <c r="G2" s="3"/>
      <c r="H2" s="21">
        <f>Summary!K16</f>
        <v>329.2694</v>
      </c>
    </row>
    <row r="3">
      <c r="A3" s="5" t="s">
        <v>3</v>
      </c>
      <c r="B3" s="6">
        <v>0.43</v>
      </c>
    </row>
    <row r="4">
      <c r="A4" s="5" t="s">
        <v>4</v>
      </c>
      <c r="B4" s="7">
        <f>1-B3</f>
        <v>0.57</v>
      </c>
    </row>
    <row r="6">
      <c r="A6" s="8" t="s">
        <v>5</v>
      </c>
      <c r="B6" s="8" t="s">
        <v>6</v>
      </c>
      <c r="C6" s="9"/>
      <c r="D6" s="10"/>
      <c r="E6" s="8" t="s">
        <v>5</v>
      </c>
      <c r="F6" s="8" t="s">
        <v>6</v>
      </c>
      <c r="G6" s="9"/>
      <c r="H6" s="10"/>
      <c r="I6" s="8" t="s">
        <v>5</v>
      </c>
      <c r="J6" s="8" t="s">
        <v>6</v>
      </c>
      <c r="K6" s="9"/>
      <c r="L6" s="10"/>
      <c r="M6" s="8" t="s">
        <v>5</v>
      </c>
      <c r="N6" s="8" t="s">
        <v>6</v>
      </c>
      <c r="O6" s="9"/>
    </row>
    <row r="7">
      <c r="A7" s="8" t="s">
        <v>7</v>
      </c>
      <c r="B7" s="8" t="s">
        <v>3</v>
      </c>
      <c r="C7" s="8" t="s">
        <v>4</v>
      </c>
      <c r="D7" s="10"/>
      <c r="E7" s="8" t="s">
        <v>8</v>
      </c>
      <c r="F7" s="8" t="s">
        <v>3</v>
      </c>
      <c r="G7" s="8" t="s">
        <v>4</v>
      </c>
      <c r="H7" s="10"/>
      <c r="I7" s="8" t="s">
        <v>9</v>
      </c>
      <c r="J7" s="8" t="s">
        <v>3</v>
      </c>
      <c r="K7" s="8" t="s">
        <v>4</v>
      </c>
      <c r="L7" s="10"/>
      <c r="M7" s="8" t="s">
        <v>10</v>
      </c>
      <c r="N7" s="8" t="s">
        <v>3</v>
      </c>
      <c r="O7" s="8" t="s">
        <v>4</v>
      </c>
    </row>
    <row r="8">
      <c r="A8" s="11" t="s">
        <v>11</v>
      </c>
      <c r="B8" s="11">
        <v>134.8</v>
      </c>
      <c r="C8" s="11"/>
      <c r="E8" s="11" t="s">
        <v>65</v>
      </c>
      <c r="F8" s="12"/>
      <c r="G8" s="11">
        <v>80.0</v>
      </c>
      <c r="I8" s="11" t="s">
        <v>66</v>
      </c>
      <c r="J8" s="12"/>
      <c r="K8" s="11">
        <v>60.0</v>
      </c>
      <c r="M8" s="11" t="s">
        <v>67</v>
      </c>
      <c r="N8" s="12"/>
      <c r="O8" s="11">
        <v>50.0</v>
      </c>
    </row>
    <row r="9">
      <c r="A9" s="11" t="s">
        <v>68</v>
      </c>
      <c r="B9" s="11">
        <v>52.95</v>
      </c>
      <c r="C9" s="11"/>
      <c r="E9" s="11" t="s">
        <v>69</v>
      </c>
      <c r="F9" s="12"/>
      <c r="G9" s="11">
        <v>80.15</v>
      </c>
      <c r="I9" s="11" t="s">
        <v>70</v>
      </c>
      <c r="J9" s="11">
        <v>160.0</v>
      </c>
      <c r="K9" s="11"/>
      <c r="M9" s="11" t="s">
        <v>60</v>
      </c>
      <c r="N9" s="11">
        <v>65.0</v>
      </c>
      <c r="O9" s="11"/>
    </row>
    <row r="10">
      <c r="A10" s="11" t="s">
        <v>19</v>
      </c>
      <c r="B10" s="11">
        <v>68.71</v>
      </c>
      <c r="C10" s="11"/>
      <c r="E10" s="11" t="s">
        <v>71</v>
      </c>
      <c r="F10" s="11"/>
      <c r="G10" s="11">
        <v>458.4</v>
      </c>
      <c r="I10" s="12"/>
      <c r="J10" s="12"/>
      <c r="K10" s="11"/>
      <c r="M10" s="11" t="s">
        <v>72</v>
      </c>
      <c r="N10" s="12"/>
      <c r="O10" s="11">
        <v>500.2</v>
      </c>
    </row>
    <row r="11">
      <c r="A11" s="11" t="s">
        <v>73</v>
      </c>
      <c r="B11" s="11">
        <v>51.37</v>
      </c>
      <c r="C11" s="11"/>
      <c r="E11" s="11" t="s">
        <v>70</v>
      </c>
      <c r="F11" s="11">
        <v>256.0</v>
      </c>
      <c r="G11" s="12"/>
      <c r="I11" s="12"/>
      <c r="J11" s="12"/>
      <c r="K11" s="12"/>
      <c r="M11" s="11" t="s">
        <v>74</v>
      </c>
      <c r="N11" s="12"/>
      <c r="O11" s="11">
        <v>80.0</v>
      </c>
    </row>
    <row r="12">
      <c r="A12" s="11" t="s">
        <v>75</v>
      </c>
      <c r="B12" s="11">
        <v>316.0</v>
      </c>
      <c r="C12" s="11"/>
      <c r="E12" s="11" t="s">
        <v>76</v>
      </c>
      <c r="F12" s="11">
        <v>118.0</v>
      </c>
      <c r="G12" s="12"/>
      <c r="I12" s="12"/>
      <c r="J12" s="12"/>
      <c r="K12" s="12"/>
      <c r="M12" s="11" t="s">
        <v>77</v>
      </c>
      <c r="N12" s="12"/>
      <c r="O12" s="11">
        <v>245.0</v>
      </c>
    </row>
    <row r="13">
      <c r="A13" s="11" t="s">
        <v>56</v>
      </c>
      <c r="B13" s="12"/>
      <c r="C13" s="11">
        <v>325.0</v>
      </c>
      <c r="E13" s="12"/>
      <c r="F13" s="12"/>
      <c r="G13" s="12"/>
      <c r="I13" s="12"/>
      <c r="J13" s="12"/>
      <c r="K13" s="12"/>
      <c r="M13" s="12"/>
      <c r="N13" s="12"/>
      <c r="O13" s="12"/>
    </row>
    <row r="14">
      <c r="A14" s="11" t="s">
        <v>78</v>
      </c>
      <c r="B14" s="12"/>
      <c r="C14" s="11">
        <v>280.0</v>
      </c>
      <c r="E14" s="12"/>
      <c r="F14" s="12"/>
      <c r="G14" s="12"/>
      <c r="I14" s="12"/>
      <c r="J14" s="12"/>
      <c r="K14" s="12"/>
      <c r="M14" s="12"/>
      <c r="N14" s="12"/>
      <c r="O14" s="12"/>
    </row>
    <row r="15">
      <c r="A15" s="11" t="s">
        <v>79</v>
      </c>
      <c r="B15" s="11">
        <v>96.0</v>
      </c>
      <c r="C15" s="11"/>
      <c r="E15" s="12"/>
      <c r="F15" s="12"/>
      <c r="G15" s="12"/>
      <c r="I15" s="12"/>
      <c r="J15" s="12"/>
      <c r="K15" s="12"/>
      <c r="M15" s="12"/>
      <c r="N15" s="12"/>
      <c r="O15" s="12"/>
    </row>
    <row r="16">
      <c r="A16" s="11" t="s">
        <v>71</v>
      </c>
      <c r="B16" s="12"/>
      <c r="C16" s="11">
        <v>612.4</v>
      </c>
      <c r="E16" s="12"/>
      <c r="F16" s="12"/>
      <c r="G16" s="12"/>
      <c r="I16" s="12"/>
      <c r="J16" s="12"/>
      <c r="K16" s="12"/>
      <c r="M16" s="12"/>
      <c r="N16" s="12"/>
      <c r="O16" s="12"/>
    </row>
    <row r="17">
      <c r="A17" s="11"/>
      <c r="B17" s="12"/>
      <c r="C17" s="11"/>
      <c r="E17" s="12"/>
      <c r="F17" s="12"/>
      <c r="G17" s="12"/>
      <c r="I17" s="12"/>
      <c r="J17" s="12"/>
      <c r="K17" s="12"/>
      <c r="M17" s="12"/>
      <c r="N17" s="12"/>
      <c r="O17" s="12"/>
    </row>
    <row r="18">
      <c r="A18" s="8" t="s">
        <v>40</v>
      </c>
      <c r="B18" s="13">
        <f t="shared" ref="B18:C18" si="1">SUM(B8:B17)</f>
        <v>719.83</v>
      </c>
      <c r="C18" s="13">
        <f t="shared" si="1"/>
        <v>1217.4</v>
      </c>
      <c r="D18" s="14"/>
      <c r="E18" s="8" t="s">
        <v>41</v>
      </c>
      <c r="F18" s="13">
        <f t="shared" ref="F18:G18" si="2">SUM(F8:F17)</f>
        <v>374</v>
      </c>
      <c r="G18" s="13">
        <f t="shared" si="2"/>
        <v>618.55</v>
      </c>
      <c r="H18" s="14"/>
      <c r="I18" s="8" t="s">
        <v>41</v>
      </c>
      <c r="J18" s="13">
        <f t="shared" ref="J18:K18" si="3">SUM(J8:J17)</f>
        <v>160</v>
      </c>
      <c r="K18" s="13">
        <f t="shared" si="3"/>
        <v>60</v>
      </c>
      <c r="L18" s="14"/>
      <c r="M18" s="8" t="s">
        <v>41</v>
      </c>
      <c r="N18" s="13">
        <f t="shared" ref="N18:O18" si="4">SUM(N8:N17)</f>
        <v>65</v>
      </c>
      <c r="O18" s="13">
        <f t="shared" si="4"/>
        <v>875.2</v>
      </c>
    </row>
    <row r="19">
      <c r="A19" s="8" t="s">
        <v>42</v>
      </c>
      <c r="B19" s="13"/>
      <c r="C19" s="13">
        <f>B18+C18</f>
        <v>1937.23</v>
      </c>
      <c r="D19" s="14"/>
      <c r="E19" s="9"/>
      <c r="F19" s="13"/>
      <c r="G19" s="13">
        <f>F18+G18+C19</f>
        <v>2929.78</v>
      </c>
      <c r="H19" s="14"/>
      <c r="I19" s="9"/>
      <c r="J19" s="9"/>
      <c r="K19" s="13">
        <f>J18+K18+G19</f>
        <v>3149.78</v>
      </c>
      <c r="L19" s="14"/>
      <c r="M19" s="9"/>
      <c r="N19" s="9"/>
      <c r="O19" s="13">
        <f>N18+O18+K19</f>
        <v>4089.98</v>
      </c>
    </row>
    <row r="20">
      <c r="A20" s="15"/>
    </row>
    <row r="21">
      <c r="M21" s="5" t="s">
        <v>43</v>
      </c>
      <c r="O21" s="16">
        <f>O19*B3</f>
        <v>1758.6914</v>
      </c>
    </row>
    <row r="22">
      <c r="M22" s="5" t="s">
        <v>44</v>
      </c>
      <c r="O22" s="16">
        <f>O19*B4</f>
        <v>2331.2886</v>
      </c>
    </row>
    <row r="23">
      <c r="M23" s="2"/>
    </row>
    <row r="24">
      <c r="M24" s="5" t="s">
        <v>45</v>
      </c>
      <c r="O24" s="16">
        <f>B18+F18+J18+N18</f>
        <v>1318.83</v>
      </c>
    </row>
    <row r="25">
      <c r="M25" s="5" t="s">
        <v>46</v>
      </c>
      <c r="O25" s="16">
        <f>C18+G18+K18+O18</f>
        <v>2771.15</v>
      </c>
    </row>
    <row r="26">
      <c r="M26" s="2"/>
    </row>
    <row r="27">
      <c r="M27" s="5" t="s">
        <v>47</v>
      </c>
      <c r="O27" s="16">
        <f t="shared" ref="O27:O28" si="5">O24-O21</f>
        <v>-439.8614</v>
      </c>
    </row>
    <row r="28">
      <c r="M28" s="5" t="s">
        <v>48</v>
      </c>
      <c r="O28" s="16">
        <f t="shared" si="5"/>
        <v>439.8614</v>
      </c>
    </row>
    <row r="30">
      <c r="M30" s="17" t="s">
        <v>49</v>
      </c>
      <c r="N30" s="18"/>
      <c r="O30" s="18"/>
    </row>
    <row r="31">
      <c r="M31" s="19" t="str">
        <f>if(O27&lt;0,"Emma owes Nick ", "Nick owes Emma ")</f>
        <v>Emma owes Nick </v>
      </c>
      <c r="N31" s="18"/>
      <c r="O31" s="20">
        <f>if(O27&lt;0,O28, O27)</f>
        <v>439.8614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9.63"/>
    <col customWidth="1" min="3" max="3" width="10.63"/>
    <col customWidth="1" min="4" max="4" width="23.5"/>
    <col customWidth="1" min="5" max="6" width="10.13"/>
    <col customWidth="1" min="7" max="7" width="18.13"/>
    <col customWidth="1" min="8" max="8" width="16.38"/>
    <col customWidth="1" min="9" max="9" width="11.38"/>
    <col customWidth="1" min="10" max="10" width="18.13"/>
    <col customWidth="1" min="11" max="11" width="14.88"/>
    <col customWidth="1" min="12" max="12" width="8.0"/>
    <col customWidth="1" min="13" max="13" width="16.63"/>
    <col customWidth="1" min="14" max="15" width="11.75"/>
  </cols>
  <sheetData>
    <row r="1">
      <c r="A1" s="1" t="s">
        <v>80</v>
      </c>
      <c r="B1" s="2"/>
      <c r="C1" s="2"/>
    </row>
    <row r="2">
      <c r="A2" s="1" t="s">
        <v>1</v>
      </c>
      <c r="B2" s="1"/>
      <c r="C2" s="1"/>
      <c r="D2" s="1" t="s">
        <v>2</v>
      </c>
      <c r="E2" s="22" t="str">
        <f>K15</f>
        <v>Nick owes Emma </v>
      </c>
      <c r="F2" s="22"/>
      <c r="G2" s="21">
        <f>K16</f>
        <v>329.2694</v>
      </c>
      <c r="H2" s="23" t="str">
        <f>N16</f>
        <v/>
      </c>
    </row>
    <row r="4">
      <c r="A4" s="1" t="s">
        <v>81</v>
      </c>
      <c r="B4" s="1"/>
      <c r="D4" s="1" t="s">
        <v>82</v>
      </c>
      <c r="E4" s="1"/>
      <c r="G4" s="1" t="s">
        <v>83</v>
      </c>
      <c r="H4" s="1"/>
      <c r="J4" s="17" t="s">
        <v>41</v>
      </c>
      <c r="K4" s="17"/>
    </row>
    <row r="5">
      <c r="A5" s="5" t="s">
        <v>43</v>
      </c>
      <c r="B5" s="16">
        <f>Eliora!O27</f>
        <v>1877.5002</v>
      </c>
      <c r="D5" s="5" t="s">
        <v>43</v>
      </c>
      <c r="E5" s="16">
        <f>Annika!O21</f>
        <v>1789.629</v>
      </c>
      <c r="G5" s="5" t="s">
        <v>43</v>
      </c>
      <c r="H5" s="16">
        <f>Malachi!O21</f>
        <v>1758.6914</v>
      </c>
      <c r="J5" s="19"/>
      <c r="K5" s="19"/>
    </row>
    <row r="6">
      <c r="A6" s="5" t="s">
        <v>44</v>
      </c>
      <c r="B6" s="16">
        <f>Eliora!O28</f>
        <v>1416.3598</v>
      </c>
      <c r="D6" s="5" t="s">
        <v>44</v>
      </c>
      <c r="E6" s="16">
        <f>Annika!O22</f>
        <v>1350.071</v>
      </c>
      <c r="G6" s="5" t="s">
        <v>44</v>
      </c>
      <c r="H6" s="16">
        <f>Malachi!O22</f>
        <v>2331.2886</v>
      </c>
      <c r="J6" s="19"/>
      <c r="K6" s="19"/>
    </row>
    <row r="7">
      <c r="A7" s="2"/>
      <c r="B7" s="24" t="str">
        <f>Eliora!O29</f>
        <v/>
      </c>
      <c r="D7" s="2"/>
      <c r="E7" s="24" t="str">
        <f>Annika!O23</f>
        <v/>
      </c>
      <c r="G7" s="2"/>
      <c r="H7" s="24" t="str">
        <f>Malachi!O23</f>
        <v/>
      </c>
      <c r="J7" s="19"/>
      <c r="K7" s="19"/>
    </row>
    <row r="8">
      <c r="A8" s="5" t="s">
        <v>45</v>
      </c>
      <c r="B8" s="16">
        <f>Eliora!O30</f>
        <v>2575.86</v>
      </c>
      <c r="D8" s="5" t="s">
        <v>45</v>
      </c>
      <c r="E8" s="16">
        <f>Annika!O24</f>
        <v>1860.4</v>
      </c>
      <c r="G8" s="5" t="s">
        <v>45</v>
      </c>
      <c r="H8" s="16">
        <f>Malachi!O24</f>
        <v>1318.83</v>
      </c>
      <c r="J8" s="19"/>
      <c r="K8" s="19"/>
    </row>
    <row r="9">
      <c r="A9" s="5" t="s">
        <v>46</v>
      </c>
      <c r="B9" s="16">
        <f>Eliora!O31</f>
        <v>718</v>
      </c>
      <c r="D9" s="5" t="s">
        <v>46</v>
      </c>
      <c r="E9" s="16">
        <f>Annika!O25</f>
        <v>1279.3</v>
      </c>
      <c r="G9" s="5" t="s">
        <v>46</v>
      </c>
      <c r="H9" s="16">
        <f>Malachi!O25</f>
        <v>2771.15</v>
      </c>
      <c r="J9" s="19"/>
      <c r="K9" s="19"/>
    </row>
    <row r="10">
      <c r="A10" s="2"/>
      <c r="B10" s="24" t="str">
        <f>Eliora!O32</f>
        <v/>
      </c>
      <c r="D10" s="2"/>
      <c r="E10" s="24" t="str">
        <f>Annika!O26</f>
        <v/>
      </c>
      <c r="G10" s="2"/>
      <c r="H10" s="24" t="str">
        <f>Malachi!O26</f>
        <v/>
      </c>
      <c r="J10" s="19"/>
      <c r="K10" s="19"/>
    </row>
    <row r="11">
      <c r="A11" s="5" t="s">
        <v>47</v>
      </c>
      <c r="B11" s="16">
        <f>Eliora!O33</f>
        <v>698.3598</v>
      </c>
      <c r="D11" s="5" t="s">
        <v>47</v>
      </c>
      <c r="E11" s="16">
        <f>Annika!O27</f>
        <v>70.771</v>
      </c>
      <c r="G11" s="5" t="s">
        <v>47</v>
      </c>
      <c r="H11" s="16">
        <f>Malachi!O27</f>
        <v>-439.8614</v>
      </c>
      <c r="J11" s="17" t="s">
        <v>84</v>
      </c>
      <c r="K11" s="25">
        <f t="shared" ref="K11:K12" si="1">B11+E11+H11</f>
        <v>329.2694</v>
      </c>
    </row>
    <row r="12">
      <c r="A12" s="5" t="s">
        <v>48</v>
      </c>
      <c r="B12" s="16">
        <f>Eliora!O34</f>
        <v>-698.3598</v>
      </c>
      <c r="D12" s="5" t="s">
        <v>48</v>
      </c>
      <c r="E12" s="16">
        <f>Annika!O28</f>
        <v>-70.771</v>
      </c>
      <c r="G12" s="5" t="s">
        <v>48</v>
      </c>
      <c r="H12" s="16">
        <f>Malachi!O28</f>
        <v>439.8614</v>
      </c>
      <c r="J12" s="17" t="s">
        <v>85</v>
      </c>
      <c r="K12" s="25">
        <f t="shared" si="1"/>
        <v>-329.2694</v>
      </c>
    </row>
    <row r="13">
      <c r="B13" s="24" t="str">
        <f>Eliora!O35</f>
        <v/>
      </c>
      <c r="E13" s="24" t="str">
        <f>Annika!O29</f>
        <v/>
      </c>
      <c r="H13" s="24" t="str">
        <f>Malachi!O29</f>
        <v/>
      </c>
      <c r="J13" s="19"/>
      <c r="K13" s="19"/>
    </row>
    <row r="14">
      <c r="J14" s="19"/>
      <c r="K14" s="19"/>
    </row>
    <row r="15">
      <c r="J15" s="19"/>
      <c r="K15" s="19" t="str">
        <f>if(K11&lt;0,"Emma owes Nick ", "Nick owes Emma ")</f>
        <v>Nick owes Emma </v>
      </c>
    </row>
    <row r="16">
      <c r="J16" s="26"/>
      <c r="K16" s="27">
        <f>if(K11&lt;0,K12, K11)</f>
        <v>329.2694</v>
      </c>
    </row>
  </sheetData>
  <drawing r:id="rId1"/>
</worksheet>
</file>